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mmary" sheetId="2" r:id="rId2"/>
    <sheet name="Notes" sheetId="3" r:id="rId3"/>
    <sheet name="Lanes" sheetId="4" r:id="rId4"/>
    <sheet name="Chec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SKU</v>
      </c>
      <c r="B1" t="str">
        <v>Item</v>
      </c>
      <c r="C1" t="str">
        <v>Qty</v>
      </c>
      <c r="D1" t="str">
        <v>Warehouse</v>
      </c>
    </row>
    <row r="2">
      <c r="A2" t="str">
        <v>A-9001</v>
      </c>
      <c r="B2" t="str">
        <v>Resistor kit</v>
      </c>
      <c r="C2">
        <v>120</v>
      </c>
      <c r="D2" t="str">
        <v>Reno</v>
      </c>
    </row>
    <row r="3">
      <c r="A3" t="str">
        <v>A-9002</v>
      </c>
      <c r="B3" t="str">
        <v>Capacitor set</v>
      </c>
      <c r="C3">
        <v>85</v>
      </c>
      <c r="D3" t="str">
        <v>Austin</v>
      </c>
    </row>
    <row r="4">
      <c r="A4" t="str">
        <v>A-9003</v>
      </c>
      <c r="B4" t="str">
        <v>Breadboard</v>
      </c>
      <c r="C4">
        <v>200</v>
      </c>
      <c r="D4" t="str">
        <v>Reno</v>
      </c>
    </row>
    <row r="5">
      <c r="A5" t="str">
        <v>A-9004</v>
      </c>
      <c r="B5" t="str">
        <v>Jumper wires</v>
      </c>
      <c r="C5">
        <v>340</v>
      </c>
      <c r="D5" t="str">
        <v>Austin</v>
      </c>
    </row>
    <row r="6">
      <c r="A6" t="str">
        <v>A-9005</v>
      </c>
      <c r="B6" t="str">
        <v>Multimeter</v>
      </c>
      <c r="C6">
        <v>42</v>
      </c>
      <c r="D6" t="str">
        <v>Reno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SKUs</v>
      </c>
      <c r="B2">
        <f>COUNTA(Inventory!A2:A6)</f>
        <v>5</v>
      </c>
    </row>
    <row r="3">
      <c r="A3" t="str">
        <v>Total units</v>
      </c>
      <c r="B3">
        <f>SUM(Inventory!C2:C6)</f>
        <v>787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Note</v>
      </c>
      <c r="B1" t="str">
        <v>Author</v>
      </c>
      <c r="C1" t="str">
        <v>Day</v>
      </c>
    </row>
    <row r="2">
      <c r="A2" t="str">
        <v>Cycle count Reno</v>
      </c>
      <c r="B2" t="str">
        <v>Ada</v>
      </c>
      <c r="C2" t="str">
        <v>Monday</v>
      </c>
    </row>
    <row r="3">
      <c r="A3" t="str">
        <v>Reorder jumpers</v>
      </c>
      <c r="B3" t="str">
        <v>Grace</v>
      </c>
      <c r="C3" t="str">
        <v>Tuesday</v>
      </c>
    </row>
    <row r="4">
      <c r="A4" t="str">
        <v>Audit Austin</v>
      </c>
      <c r="B4" t="str">
        <v>Linus</v>
      </c>
      <c r="C4" t="str">
        <v>Wednesday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D6"/>
  <sheetViews>
    <sheetView workbookViewId="0"/>
  </sheetViews>
  <sheetData>
    <row r="2">
      <c r="B2" t="str">
        <v>Lane</v>
      </c>
      <c r="C2" t="str">
        <v>Loads</v>
      </c>
      <c r="D2" t="str">
        <v>Miles</v>
      </c>
    </row>
    <row r="3">
      <c r="B3" t="str">
        <v>Reno-Austin</v>
      </c>
      <c r="C3">
        <v>4</v>
      </c>
      <c r="D3">
        <v>1650</v>
      </c>
    </row>
    <row r="5">
      <c r="B5" t="str">
        <v>Austin-Reno</v>
      </c>
      <c r="C5">
        <v>3</v>
      </c>
      <c r="D5">
        <v>1650</v>
      </c>
    </row>
    <row r="6">
      <c r="B6" t="str">
        <v>Total</v>
      </c>
      <c r="C6">
        <f>SUM(C3:C5)</f>
        <v>7</v>
      </c>
      <c r="D6">
        <f>SUM(D3:D5)</f>
        <v>3300</v>
      </c>
    </row>
  </sheetData>
  <ignoredErrors>
    <ignoredError numberStoredAsText="1" sqref="B2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=abc</v>
      </c>
      <c r="B1">
        <v>10</v>
      </c>
      <c r="C1" t="b">
        <v>1</v>
      </c>
      <c r="D1" t="str">
        <v>5</v>
      </c>
      <c r="E1">
        <f>SUM(B1:D1)</f>
        <v>10</v>
      </c>
      <c r="F1">
        <f>B1*2</f>
        <v>999</v>
      </c>
      <c r="G1" t="b">
        <f>1=1</f>
        <v>1</v>
      </c>
      <c r="H1" t="e">
        <f>1/0</f>
        <v>#DIV/0!</v>
      </c>
      <c r="I1" t="e">
        <v>#N/A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Summary</vt:lpstr>
      <vt:lpstr>Notes</vt:lpstr>
      <vt:lpstr>Lanes</vt:lpstr>
      <vt:lpstr>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